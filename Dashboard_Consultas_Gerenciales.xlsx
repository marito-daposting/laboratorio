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esktop\Carpeta a subir\"/>
    </mc:Choice>
  </mc:AlternateContent>
  <xr:revisionPtr revIDLastSave="0" documentId="13_ncr:1_{8404A6B2-A41E-40FC-90EF-427A62210E8C}" xr6:coauthVersionLast="47" xr6:coauthVersionMax="47" xr10:uidLastSave="{00000000-0000-0000-0000-000000000000}"/>
  <bookViews>
    <workbookView xWindow="-120" yWindow="-120" windowWidth="20730" windowHeight="11160" xr2:uid="{999F0B99-C140-4A97-AEFD-3C2F33AD2C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</calcChain>
</file>

<file path=xl/sharedStrings.xml><?xml version="1.0" encoding="utf-8"?>
<sst xmlns="http://schemas.openxmlformats.org/spreadsheetml/2006/main" count="70" uniqueCount="51">
  <si>
    <t>Codigo Cliente</t>
  </si>
  <si>
    <t>Nombre Empresa</t>
  </si>
  <si>
    <t>Telefono</t>
  </si>
  <si>
    <t>Correo</t>
  </si>
  <si>
    <t>Representante Legal</t>
  </si>
  <si>
    <t>Saldo Pendiente</t>
  </si>
  <si>
    <t>Wichos</t>
  </si>
  <si>
    <t>Gaeles</t>
  </si>
  <si>
    <t>Chinos</t>
  </si>
  <si>
    <t>Darios</t>
  </si>
  <si>
    <t>Marios</t>
  </si>
  <si>
    <t>Baluks</t>
  </si>
  <si>
    <t>Estebandidos</t>
  </si>
  <si>
    <t>Franciscos</t>
  </si>
  <si>
    <t>Andys</t>
  </si>
  <si>
    <t>Omars</t>
  </si>
  <si>
    <t>Andersons</t>
  </si>
  <si>
    <t>Giselless</t>
  </si>
  <si>
    <t>Dulces</t>
  </si>
  <si>
    <t>Roberts</t>
  </si>
  <si>
    <t>Joeles</t>
  </si>
  <si>
    <t>Chicotazo</t>
  </si>
  <si>
    <t>Chapina</t>
  </si>
  <si>
    <t>Pinuliti</t>
  </si>
  <si>
    <t>granjero</t>
  </si>
  <si>
    <t>Camperonix</t>
  </si>
  <si>
    <t>w@gmail.com</t>
  </si>
  <si>
    <t>g@gmail.com</t>
  </si>
  <si>
    <t>c@gmail.com</t>
  </si>
  <si>
    <t>d@gmail.com</t>
  </si>
  <si>
    <t>m@gmail.com</t>
  </si>
  <si>
    <t>b@gmail.com</t>
  </si>
  <si>
    <t>e@gmail.com</t>
  </si>
  <si>
    <t>fran@gmail.com</t>
  </si>
  <si>
    <t>andys@gmail.com</t>
  </si>
  <si>
    <t>Om@gmail.com</t>
  </si>
  <si>
    <t>Anders@gmail.com</t>
  </si>
  <si>
    <t>Giselles@gmail.com</t>
  </si>
  <si>
    <t>Dulces@gmail.com</t>
  </si>
  <si>
    <t>roberts@gmail.com</t>
  </si>
  <si>
    <t>youl@gmail.com</t>
  </si>
  <si>
    <t>chicopazo@gmail.com</t>
  </si>
  <si>
    <t>chapinas@gmail.com</t>
  </si>
  <si>
    <t>pinulitos@gmail.com</t>
  </si>
  <si>
    <t>grankeros@gmail.com</t>
  </si>
  <si>
    <t>caqueros@gmail.com</t>
  </si>
  <si>
    <t>Socios S.A</t>
  </si>
  <si>
    <t>Anonimos S.A</t>
  </si>
  <si>
    <t>Abogados S.A</t>
  </si>
  <si>
    <t>Modulo De Consulta Gerencial</t>
  </si>
  <si>
    <t>Nombre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</si>
</sst>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1">
    <dxf>
      <numFmt numFmtId="164" formatCode="&quot;Q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8243F-0CDF-4408-93C0-D35AB05D2450}" name="Tabla1" displayName="Tabla1" ref="A1:F21" totalsRowShown="0">
  <autoFilter ref="A1:F21" xr:uid="{3878243F-0CDF-4408-93C0-D35AB05D2450}"/>
  <tableColumns count="6">
    <tableColumn id="1" xr3:uid="{65CE1189-9BFB-4B26-9D56-5EF9DC70FB6D}" name="Codigo Cliente"/>
    <tableColumn id="2" xr3:uid="{AD6AF73A-8144-4F3E-8752-C5E1DAFDD70F}" name="Nombre Empresa"/>
    <tableColumn id="3" xr3:uid="{98450DB5-8F84-49B6-8448-34B599A3BA3E}" name="Telefono"/>
    <tableColumn id="4" xr3:uid="{5229BF32-1369-4B68-9430-B0AA6DBB5AA2}" name="Correo"/>
    <tableColumn id="5" xr3:uid="{0EE23CD5-68E7-43F1-BFB4-69098F188478}" name="Representante Legal"/>
    <tableColumn id="6" xr3:uid="{24C7CCA1-0E9A-4872-9DEA-3253D31D7F14}" name="Saldo Pendi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@gmail.com" TargetMode="External"/><Relationship Id="rId13" Type="http://schemas.openxmlformats.org/officeDocument/2006/relationships/hyperlink" Target="mailto:Dulces@gmail.com" TargetMode="External"/><Relationship Id="rId18" Type="http://schemas.openxmlformats.org/officeDocument/2006/relationships/hyperlink" Target="mailto:pinulitos@gmail.com" TargetMode="External"/><Relationship Id="rId3" Type="http://schemas.openxmlformats.org/officeDocument/2006/relationships/hyperlink" Target="mailto:c@gmail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e@gmail.com" TargetMode="External"/><Relationship Id="rId12" Type="http://schemas.openxmlformats.org/officeDocument/2006/relationships/hyperlink" Target="mailto:Giselles@gmail.com" TargetMode="External"/><Relationship Id="rId17" Type="http://schemas.openxmlformats.org/officeDocument/2006/relationships/hyperlink" Target="mailto:chapinas@gmail.com" TargetMode="External"/><Relationship Id="rId2" Type="http://schemas.openxmlformats.org/officeDocument/2006/relationships/hyperlink" Target="mailto:g@gmail.com" TargetMode="External"/><Relationship Id="rId16" Type="http://schemas.openxmlformats.org/officeDocument/2006/relationships/hyperlink" Target="mailto:chicopazo@gmail.com" TargetMode="External"/><Relationship Id="rId20" Type="http://schemas.openxmlformats.org/officeDocument/2006/relationships/hyperlink" Target="mailto:caqueros@gmail.com" TargetMode="External"/><Relationship Id="rId1" Type="http://schemas.openxmlformats.org/officeDocument/2006/relationships/hyperlink" Target="mailto:w@gmail.com" TargetMode="External"/><Relationship Id="rId6" Type="http://schemas.openxmlformats.org/officeDocument/2006/relationships/hyperlink" Target="mailto:b@gmail.com" TargetMode="External"/><Relationship Id="rId11" Type="http://schemas.openxmlformats.org/officeDocument/2006/relationships/hyperlink" Target="mailto:Anders@gmail.com" TargetMode="External"/><Relationship Id="rId5" Type="http://schemas.openxmlformats.org/officeDocument/2006/relationships/hyperlink" Target="mailto:m@gmail.com" TargetMode="External"/><Relationship Id="rId15" Type="http://schemas.openxmlformats.org/officeDocument/2006/relationships/hyperlink" Target="mailto:youl@gmail.com" TargetMode="External"/><Relationship Id="rId10" Type="http://schemas.openxmlformats.org/officeDocument/2006/relationships/hyperlink" Target="mailto:Om@gmail.com" TargetMode="External"/><Relationship Id="rId19" Type="http://schemas.openxmlformats.org/officeDocument/2006/relationships/hyperlink" Target="mailto:grankeros@gmail.com" TargetMode="External"/><Relationship Id="rId4" Type="http://schemas.openxmlformats.org/officeDocument/2006/relationships/hyperlink" Target="mailto:d@gmail.com" TargetMode="External"/><Relationship Id="rId9" Type="http://schemas.openxmlformats.org/officeDocument/2006/relationships/hyperlink" Target="mailto:andys@gmail.com" TargetMode="External"/><Relationship Id="rId14" Type="http://schemas.openxmlformats.org/officeDocument/2006/relationships/hyperlink" Target="mailto:rober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F1DC-9A65-4CF2-8015-9F9B5F65DCD3}">
  <dimension ref="A1:J21"/>
  <sheetViews>
    <sheetView tabSelected="1" topLeftCell="B1" workbookViewId="0">
      <selection activeCell="I3" sqref="I3"/>
    </sheetView>
  </sheetViews>
  <sheetFormatPr baseColWidth="10" defaultRowHeight="15" x14ac:dyDescent="0.25"/>
  <cols>
    <col min="1" max="1" width="16.140625" customWidth="1"/>
    <col min="2" max="2" width="18.42578125" customWidth="1"/>
    <col min="3" max="3" width="11.140625" customWidth="1"/>
    <col min="4" max="4" width="19.85546875" customWidth="1"/>
    <col min="5" max="5" width="21.28515625" customWidth="1"/>
    <col min="6" max="6" width="17.7109375" style="2" customWidth="1"/>
    <col min="9" max="9" width="30.140625" customWidth="1"/>
    <col min="10" max="10" width="19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I1" s="3" t="s">
        <v>49</v>
      </c>
      <c r="J1" s="3"/>
    </row>
    <row r="2" spans="1:10" x14ac:dyDescent="0.25">
      <c r="A2">
        <v>1</v>
      </c>
      <c r="B2" t="s">
        <v>6</v>
      </c>
      <c r="C2">
        <v>32527895</v>
      </c>
      <c r="D2" s="1" t="s">
        <v>26</v>
      </c>
      <c r="E2" t="s">
        <v>46</v>
      </c>
      <c r="F2" s="2">
        <v>10000</v>
      </c>
      <c r="I2" s="4">
        <v>14</v>
      </c>
      <c r="J2" s="3"/>
    </row>
    <row r="3" spans="1:10" x14ac:dyDescent="0.25">
      <c r="A3">
        <v>2</v>
      </c>
      <c r="B3" t="s">
        <v>7</v>
      </c>
      <c r="C3">
        <v>41527894</v>
      </c>
      <c r="D3" s="1" t="s">
        <v>27</v>
      </c>
      <c r="E3" t="s">
        <v>47</v>
      </c>
      <c r="F3" s="2">
        <v>20000</v>
      </c>
      <c r="I3" s="3"/>
      <c r="J3" s="3"/>
    </row>
    <row r="4" spans="1:10" x14ac:dyDescent="0.25">
      <c r="A4">
        <v>3</v>
      </c>
      <c r="B4" t="s">
        <v>8</v>
      </c>
      <c r="C4">
        <v>32564178</v>
      </c>
      <c r="D4" s="1" t="s">
        <v>28</v>
      </c>
      <c r="E4" t="s">
        <v>48</v>
      </c>
      <c r="F4" s="2">
        <v>6000</v>
      </c>
      <c r="I4" s="3" t="s">
        <v>50</v>
      </c>
      <c r="J4" s="4" t="str">
        <f>VLOOKUP(I2,Tabla1[],2,)</f>
        <v>Roberts</v>
      </c>
    </row>
    <row r="5" spans="1:10" x14ac:dyDescent="0.25">
      <c r="A5">
        <v>4</v>
      </c>
      <c r="B5" t="s">
        <v>9</v>
      </c>
      <c r="C5">
        <v>41527895</v>
      </c>
      <c r="D5" s="1" t="s">
        <v>29</v>
      </c>
      <c r="E5" t="s">
        <v>46</v>
      </c>
      <c r="F5" s="2">
        <v>40000</v>
      </c>
      <c r="I5" s="3" t="s">
        <v>4</v>
      </c>
      <c r="J5" s="4" t="str">
        <f>VLOOKUP(I2,Tabla1[],5,)</f>
        <v>Anonimos S.A</v>
      </c>
    </row>
    <row r="6" spans="1:10" x14ac:dyDescent="0.25">
      <c r="A6">
        <v>5</v>
      </c>
      <c r="B6" t="s">
        <v>10</v>
      </c>
      <c r="C6">
        <v>41526398</v>
      </c>
      <c r="D6" s="1" t="s">
        <v>30</v>
      </c>
      <c r="E6" t="s">
        <v>47</v>
      </c>
      <c r="F6" s="2">
        <v>50000</v>
      </c>
      <c r="I6" s="3" t="s">
        <v>5</v>
      </c>
      <c r="J6" s="4">
        <f>VLOOKUP(I2,Tabla1[],6,)</f>
        <v>3200</v>
      </c>
    </row>
    <row r="7" spans="1:10" x14ac:dyDescent="0.25">
      <c r="A7">
        <v>6</v>
      </c>
      <c r="B7" t="s">
        <v>11</v>
      </c>
      <c r="C7">
        <v>41563278</v>
      </c>
      <c r="D7" s="1" t="s">
        <v>31</v>
      </c>
      <c r="E7" t="s">
        <v>48</v>
      </c>
      <c r="F7" s="2">
        <v>78000</v>
      </c>
    </row>
    <row r="8" spans="1:10" x14ac:dyDescent="0.25">
      <c r="A8">
        <v>7</v>
      </c>
      <c r="B8" t="s">
        <v>12</v>
      </c>
      <c r="C8">
        <v>14778596</v>
      </c>
      <c r="D8" s="1" t="s">
        <v>32</v>
      </c>
      <c r="E8" t="s">
        <v>48</v>
      </c>
      <c r="F8" s="2">
        <v>95000</v>
      </c>
    </row>
    <row r="9" spans="1:10" x14ac:dyDescent="0.25">
      <c r="A9">
        <v>8</v>
      </c>
      <c r="B9" t="s">
        <v>13</v>
      </c>
      <c r="C9">
        <v>32567841</v>
      </c>
      <c r="D9" s="1" t="s">
        <v>33</v>
      </c>
      <c r="E9" t="s">
        <v>46</v>
      </c>
      <c r="F9" s="2">
        <v>25000</v>
      </c>
    </row>
    <row r="10" spans="1:10" x14ac:dyDescent="0.25">
      <c r="A10">
        <v>9</v>
      </c>
      <c r="B10" t="s">
        <v>14</v>
      </c>
      <c r="C10">
        <v>14259683</v>
      </c>
      <c r="D10" s="1" t="s">
        <v>34</v>
      </c>
      <c r="E10" t="s">
        <v>47</v>
      </c>
      <c r="F10" s="2">
        <v>45000</v>
      </c>
    </row>
    <row r="11" spans="1:10" x14ac:dyDescent="0.25">
      <c r="A11">
        <v>10</v>
      </c>
      <c r="B11" t="s">
        <v>15</v>
      </c>
      <c r="C11">
        <v>58721043</v>
      </c>
      <c r="D11" s="1" t="s">
        <v>35</v>
      </c>
      <c r="E11" t="s">
        <v>46</v>
      </c>
      <c r="F11" s="2">
        <v>3200</v>
      </c>
    </row>
    <row r="12" spans="1:10" x14ac:dyDescent="0.25">
      <c r="A12">
        <v>11</v>
      </c>
      <c r="B12" t="s">
        <v>16</v>
      </c>
      <c r="C12">
        <v>78956254</v>
      </c>
      <c r="D12" s="1" t="s">
        <v>36</v>
      </c>
      <c r="E12" t="s">
        <v>48</v>
      </c>
      <c r="F12" s="2">
        <v>66000</v>
      </c>
    </row>
    <row r="13" spans="1:10" x14ac:dyDescent="0.25">
      <c r="A13">
        <v>12</v>
      </c>
      <c r="B13" t="s">
        <v>17</v>
      </c>
      <c r="C13">
        <v>99996666</v>
      </c>
      <c r="D13" s="1" t="s">
        <v>37</v>
      </c>
      <c r="E13" t="s">
        <v>46</v>
      </c>
      <c r="F13" s="2">
        <v>9900</v>
      </c>
    </row>
    <row r="14" spans="1:10" x14ac:dyDescent="0.25">
      <c r="A14">
        <v>13</v>
      </c>
      <c r="B14" t="s">
        <v>18</v>
      </c>
      <c r="C14">
        <v>12453689</v>
      </c>
      <c r="D14" s="1" t="s">
        <v>38</v>
      </c>
      <c r="E14" t="s">
        <v>47</v>
      </c>
      <c r="F14" s="2">
        <v>45600</v>
      </c>
    </row>
    <row r="15" spans="1:10" x14ac:dyDescent="0.25">
      <c r="A15">
        <v>14</v>
      </c>
      <c r="B15" t="s">
        <v>19</v>
      </c>
      <c r="C15">
        <v>2025454</v>
      </c>
      <c r="D15" s="1" t="s">
        <v>39</v>
      </c>
      <c r="E15" t="s">
        <v>47</v>
      </c>
      <c r="F15" s="2">
        <v>3200</v>
      </c>
    </row>
    <row r="16" spans="1:10" x14ac:dyDescent="0.25">
      <c r="A16">
        <v>15</v>
      </c>
      <c r="B16" t="s">
        <v>20</v>
      </c>
      <c r="C16">
        <v>43455077</v>
      </c>
      <c r="D16" s="1" t="s">
        <v>40</v>
      </c>
      <c r="E16" t="s">
        <v>47</v>
      </c>
      <c r="F16" s="2">
        <v>2560</v>
      </c>
    </row>
    <row r="17" spans="1:6" x14ac:dyDescent="0.25">
      <c r="A17">
        <v>16</v>
      </c>
      <c r="B17" t="s">
        <v>21</v>
      </c>
      <c r="C17">
        <v>66954554</v>
      </c>
      <c r="D17" s="1" t="s">
        <v>41</v>
      </c>
      <c r="E17" t="s">
        <v>47</v>
      </c>
      <c r="F17" s="2">
        <v>68500</v>
      </c>
    </row>
    <row r="18" spans="1:6" x14ac:dyDescent="0.25">
      <c r="A18">
        <v>17</v>
      </c>
      <c r="B18" t="s">
        <v>22</v>
      </c>
      <c r="C18">
        <v>25438514</v>
      </c>
      <c r="D18" s="1" t="s">
        <v>42</v>
      </c>
      <c r="E18" t="s">
        <v>46</v>
      </c>
      <c r="F18" s="2">
        <v>15000</v>
      </c>
    </row>
    <row r="19" spans="1:6" x14ac:dyDescent="0.25">
      <c r="A19">
        <v>18</v>
      </c>
      <c r="B19" t="s">
        <v>23</v>
      </c>
      <c r="C19">
        <v>52963215</v>
      </c>
      <c r="D19" s="1" t="s">
        <v>43</v>
      </c>
      <c r="E19" t="s">
        <v>48</v>
      </c>
      <c r="F19" s="2">
        <v>25000</v>
      </c>
    </row>
    <row r="20" spans="1:6" x14ac:dyDescent="0.25">
      <c r="A20">
        <v>19</v>
      </c>
      <c r="B20" t="s">
        <v>24</v>
      </c>
      <c r="C20">
        <v>25418641</v>
      </c>
      <c r="D20" s="1" t="s">
        <v>44</v>
      </c>
      <c r="E20" t="s">
        <v>46</v>
      </c>
      <c r="F20" s="2">
        <v>33000</v>
      </c>
    </row>
    <row r="21" spans="1:6" x14ac:dyDescent="0.25">
      <c r="A21">
        <v>20</v>
      </c>
      <c r="B21" t="s">
        <v>25</v>
      </c>
      <c r="C21">
        <v>19992525</v>
      </c>
      <c r="D21" s="1" t="s">
        <v>45</v>
      </c>
      <c r="E21" t="s">
        <v>47</v>
      </c>
      <c r="F21" s="2">
        <v>43000</v>
      </c>
    </row>
  </sheetData>
  <hyperlinks>
    <hyperlink ref="D2" r:id="rId1" xr:uid="{AD89AF83-A7A9-4819-81E4-5655E5B26FFC}"/>
    <hyperlink ref="D3" r:id="rId2" xr:uid="{3369D7C7-B904-4E91-BA23-C4040A37784F}"/>
    <hyperlink ref="D4" r:id="rId3" xr:uid="{CDB217CA-3C7E-4CAD-9F9F-03A74B68CCB6}"/>
    <hyperlink ref="D5" r:id="rId4" xr:uid="{399B3EB2-CCE9-42D3-81C3-4C5889572296}"/>
    <hyperlink ref="D6" r:id="rId5" xr:uid="{B50E7897-3484-4EAF-B2D7-BCDC42FFB75D}"/>
    <hyperlink ref="D7" r:id="rId6" xr:uid="{4798D03D-EE2C-474E-87AB-CA784247B056}"/>
    <hyperlink ref="D8" r:id="rId7" xr:uid="{A527488E-20FA-4909-B3A9-3DF16D12A03C}"/>
    <hyperlink ref="D9" r:id="rId8" xr:uid="{C16FF3B5-B62D-4784-8D3E-1F2F7D9FF820}"/>
    <hyperlink ref="D10" r:id="rId9" xr:uid="{88C52FF0-4B2C-4A37-B309-F0931AEE8B48}"/>
    <hyperlink ref="D11" r:id="rId10" xr:uid="{3A1CA931-B088-4957-93E0-716F37B280CF}"/>
    <hyperlink ref="D12" r:id="rId11" xr:uid="{CAFDFFA8-4C96-4BEA-BA59-83D14BE486DC}"/>
    <hyperlink ref="D13" r:id="rId12" xr:uid="{C53C5783-20E4-47D7-B8A2-BA6D358890C3}"/>
    <hyperlink ref="D14" r:id="rId13" xr:uid="{6DC85A80-C431-4352-B218-73C9F861EA49}"/>
    <hyperlink ref="D15" r:id="rId14" xr:uid="{7E9DAB2D-3861-4D5C-A8DF-6D0347941174}"/>
    <hyperlink ref="D16" r:id="rId15" xr:uid="{54144682-C45F-4E4F-A750-3E5CA3AB5DBA}"/>
    <hyperlink ref="D17" r:id="rId16" xr:uid="{09BC27A4-2F99-4280-9DF1-D3CDBBFF4898}"/>
    <hyperlink ref="D18" r:id="rId17" xr:uid="{FF1E09E8-EAEA-4294-B473-9A4B345424F6}"/>
    <hyperlink ref="D19" r:id="rId18" xr:uid="{05AA4704-6550-434E-B366-0062AA3D6434}"/>
    <hyperlink ref="D20" r:id="rId19" xr:uid="{A82AC726-B975-492A-AED6-DC6DBCB93C0A}"/>
    <hyperlink ref="D21" r:id="rId20" xr:uid="{DF105310-7594-4CA2-88EF-94FEA43B3CC4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2026-05-21T17:07:54Z</dcterms:created>
  <dcterms:modified xsi:type="dcterms:W3CDTF">2026-05-21T17:29:39Z</dcterms:modified>
</cp:coreProperties>
</file>