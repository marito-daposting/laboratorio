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elq\Desktop\Carpeta a subir\"/>
    </mc:Choice>
  </mc:AlternateContent>
  <xr:revisionPtr revIDLastSave="0" documentId="8_{3340F469-A858-4F03-9F3A-EB216B7C6DAC}" xr6:coauthVersionLast="47" xr6:coauthVersionMax="47" xr10:uidLastSave="{00000000-0000-0000-0000-000000000000}"/>
  <bookViews>
    <workbookView xWindow="-120" yWindow="-120" windowWidth="20730" windowHeight="11160" xr2:uid="{B0271F84-45CA-408B-88FB-D9259F78FA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</calcChain>
</file>

<file path=xl/sharedStrings.xml><?xml version="1.0" encoding="utf-8"?>
<sst xmlns="http://schemas.openxmlformats.org/spreadsheetml/2006/main" count="20" uniqueCount="20">
  <si>
    <t>Nit</t>
  </si>
  <si>
    <t>Empresa</t>
  </si>
  <si>
    <t>Monto Solicitado</t>
  </si>
  <si>
    <t>Ingresos Mensuales</t>
  </si>
  <si>
    <t xml:space="preserve">Dictamen Inicial </t>
  </si>
  <si>
    <t>Carnitas S.A</t>
  </si>
  <si>
    <t>Bandidos</t>
  </si>
  <si>
    <t>Lospepes</t>
  </si>
  <si>
    <t>Papus S.D.L.G</t>
  </si>
  <si>
    <t xml:space="preserve">Darios </t>
  </si>
  <si>
    <t>Gaeles S.A</t>
  </si>
  <si>
    <t>Pollos asados</t>
  </si>
  <si>
    <t>Pinulito</t>
  </si>
  <si>
    <t>Granjero</t>
  </si>
  <si>
    <t>PolloLandia</t>
  </si>
  <si>
    <t>EtosSech</t>
  </si>
  <si>
    <t>EdgarYaWey</t>
  </si>
  <si>
    <t xml:space="preserve">Finos </t>
  </si>
  <si>
    <t xml:space="preserve">QuePros </t>
  </si>
  <si>
    <t>TheTilins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</si>
</sst>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 val="0"/>
        <i/>
        <u val="none"/>
      </font>
      <fill>
        <patternFill patternType="darkGrid">
          <fgColor theme="9" tint="0.79998168889431442"/>
        </patternFill>
      </fill>
      <border>
        <left style="mediumDashDotDot">
          <color auto="1"/>
        </left>
        <right style="mediumDashDotDot">
          <color auto="1"/>
        </right>
        <top style="mediumDashDotDot">
          <color auto="1"/>
        </top>
        <bottom style="mediumDashDotDot">
          <color auto="1"/>
        </bottom>
        <vertical style="mediumDashDotDot">
          <color auto="1"/>
        </vertical>
        <horizontal style="mediumDashDotDot">
          <color auto="1"/>
        </horizontal>
      </border>
    </dxf>
    <dxf>
      <numFmt numFmtId="0" formatCode="General"/>
    </dxf>
  </dxfs>
  <tableStyles count="1" defaultTableStyle="TableStyleMedium2" defaultPivotStyle="PivotStyleLight16">
    <tableStyle name="Estilo de tabla 1" pivot="0" count="1" xr9:uid="{AE1D7DEF-F025-42B6-8B72-9F644F20780E}">
      <tableStyleElement type="wholeTable" dxfId="0"/>
    </tableStyle>
  </tableStyles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59953B-D597-463C-A70F-3C7E93CEAD99}" name="Tabla1" displayName="Tabla1" ref="A1:E16" totalsRowShown="0">
  <autoFilter ref="A1:E16" xr:uid="{F559953B-D597-463C-A70F-3C7E93CEAD99}"/>
  <tableColumns count="5">
    <tableColumn id="1" xr3:uid="{DD2A733C-659E-46BF-AD94-ACD01468FB63}" name="Nit"/>
    <tableColumn id="2" xr3:uid="{D9E9E7FB-0C38-4903-9D5D-1A97623EED20}" name="Empresa"/>
    <tableColumn id="3" xr3:uid="{7105EE4B-244A-45F8-A0BF-64AAD8B24166}" name="Monto Solicitado"/>
    <tableColumn id="4" xr3:uid="{74010240-3931-4AC5-B837-CA845E39523F}" name="Ingresos Mensuales"/>
    <tableColumn id="5" xr3:uid="{923919B7-0D82-4C01-B142-3DED4B070A45}" name="Dictamen Inicial " dataDxfId="1">
      <calculatedColumnFormula>IF(D2&gt;=50000,"aprobacion inmediata",IF(D2&gt;=30000,"Requiere Codeudor",IF(D2&lt;=15000,"analisis de comité","Credito Denegado")))</calculatedColumnFormula>
    </tableColumn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3A675-B286-41A1-8F48-D27E32874A34}">
  <dimension ref="A1:E16"/>
  <sheetViews>
    <sheetView tabSelected="1" workbookViewId="0"/>
  </sheetViews>
  <sheetFormatPr baseColWidth="10" defaultRowHeight="15" x14ac:dyDescent="0.25"/>
  <cols>
    <col min="2" max="2" width="13.140625" customWidth="1"/>
    <col min="3" max="3" width="18.28515625" customWidth="1"/>
    <col min="4" max="4" width="20.7109375" customWidth="1"/>
    <col min="5" max="5" width="21.42578125" customWidth="1"/>
  </cols>
  <sheetData>
    <row r="1" spans="1:5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283645</v>
      </c>
      <c r="B2" t="s">
        <v>5</v>
      </c>
      <c r="C2">
        <v>50000</v>
      </c>
      <c r="D2">
        <v>50000</v>
      </c>
      <c r="E2" t="str">
        <f t="shared" ref="E2:E16" si="0">IF(D2&gt;=50000,"aprobacion inmediata",IF(D2&gt;=30000,"Requiere Codeudor",IF(D2&lt;=15000,"analisis de comité","Credito Denegado")))</f>
        <v>aprobacion inmediata</v>
      </c>
    </row>
    <row r="3" spans="1:5" x14ac:dyDescent="0.25">
      <c r="A3">
        <v>256974</v>
      </c>
      <c r="B3" t="s">
        <v>6</v>
      </c>
      <c r="C3">
        <v>35000</v>
      </c>
      <c r="D3">
        <v>35000</v>
      </c>
      <c r="E3" t="str">
        <f t="shared" si="0"/>
        <v>Requiere Codeudor</v>
      </c>
    </row>
    <row r="4" spans="1:5" x14ac:dyDescent="0.25">
      <c r="A4">
        <v>241536</v>
      </c>
      <c r="B4" t="s">
        <v>7</v>
      </c>
      <c r="C4">
        <v>45000</v>
      </c>
      <c r="D4">
        <v>15000</v>
      </c>
      <c r="E4" t="str">
        <f t="shared" si="0"/>
        <v>analisis de comité</v>
      </c>
    </row>
    <row r="5" spans="1:5" x14ac:dyDescent="0.25">
      <c r="A5">
        <v>4858936</v>
      </c>
      <c r="B5" t="s">
        <v>8</v>
      </c>
      <c r="C5">
        <v>60000</v>
      </c>
      <c r="D5">
        <v>25000</v>
      </c>
      <c r="E5" t="str">
        <f t="shared" si="0"/>
        <v>Credito Denegado</v>
      </c>
    </row>
    <row r="6" spans="1:5" x14ac:dyDescent="0.25">
      <c r="A6">
        <v>142536</v>
      </c>
      <c r="B6" t="s">
        <v>9</v>
      </c>
      <c r="C6">
        <v>45000</v>
      </c>
      <c r="D6">
        <v>78000</v>
      </c>
      <c r="E6" t="str">
        <f t="shared" si="0"/>
        <v>aprobacion inmediata</v>
      </c>
    </row>
    <row r="7" spans="1:5" x14ac:dyDescent="0.25">
      <c r="A7">
        <v>7894</v>
      </c>
      <c r="B7" t="s">
        <v>10</v>
      </c>
      <c r="C7">
        <v>38500</v>
      </c>
      <c r="D7">
        <v>25550</v>
      </c>
      <c r="E7" t="str">
        <f t="shared" si="0"/>
        <v>Credito Denegado</v>
      </c>
    </row>
    <row r="8" spans="1:5" x14ac:dyDescent="0.25">
      <c r="A8">
        <v>56234</v>
      </c>
      <c r="B8" t="s">
        <v>11</v>
      </c>
      <c r="C8">
        <v>25600</v>
      </c>
      <c r="D8">
        <v>66000</v>
      </c>
      <c r="E8" t="str">
        <f t="shared" si="0"/>
        <v>aprobacion inmediata</v>
      </c>
    </row>
    <row r="9" spans="1:5" x14ac:dyDescent="0.25">
      <c r="A9">
        <v>25687</v>
      </c>
      <c r="B9" t="s">
        <v>12</v>
      </c>
      <c r="C9">
        <v>78500</v>
      </c>
      <c r="D9">
        <v>90000</v>
      </c>
      <c r="E9" t="str">
        <f t="shared" si="0"/>
        <v>aprobacion inmediata</v>
      </c>
    </row>
    <row r="10" spans="1:5" x14ac:dyDescent="0.25">
      <c r="A10">
        <v>4586</v>
      </c>
      <c r="B10" t="s">
        <v>13</v>
      </c>
      <c r="C10">
        <v>150000</v>
      </c>
      <c r="D10">
        <v>10000</v>
      </c>
      <c r="E10" t="str">
        <f t="shared" si="0"/>
        <v>analisis de comité</v>
      </c>
    </row>
    <row r="11" spans="1:5" x14ac:dyDescent="0.25">
      <c r="A11">
        <v>6323</v>
      </c>
      <c r="B11" t="s">
        <v>14</v>
      </c>
      <c r="C11">
        <v>88000</v>
      </c>
      <c r="D11">
        <v>5000</v>
      </c>
      <c r="E11" t="str">
        <f t="shared" si="0"/>
        <v>analisis de comité</v>
      </c>
    </row>
    <row r="12" spans="1:5" x14ac:dyDescent="0.25">
      <c r="A12">
        <v>24896</v>
      </c>
      <c r="B12" t="s">
        <v>15</v>
      </c>
      <c r="C12">
        <v>66666</v>
      </c>
      <c r="D12">
        <v>45000</v>
      </c>
      <c r="E12" t="str">
        <f t="shared" si="0"/>
        <v>Requiere Codeudor</v>
      </c>
    </row>
    <row r="13" spans="1:5" x14ac:dyDescent="0.25">
      <c r="A13">
        <v>48352</v>
      </c>
      <c r="B13" t="s">
        <v>16</v>
      </c>
      <c r="C13">
        <v>44444</v>
      </c>
      <c r="D13">
        <v>36000</v>
      </c>
      <c r="E13" t="str">
        <f t="shared" si="0"/>
        <v>Requiere Codeudor</v>
      </c>
    </row>
    <row r="14" spans="1:5" x14ac:dyDescent="0.25">
      <c r="A14">
        <v>24585</v>
      </c>
      <c r="B14" t="s">
        <v>17</v>
      </c>
      <c r="C14">
        <v>55555</v>
      </c>
      <c r="D14">
        <v>73000</v>
      </c>
      <c r="E14" t="str">
        <f t="shared" si="0"/>
        <v>aprobacion inmediata</v>
      </c>
    </row>
    <row r="15" spans="1:5" x14ac:dyDescent="0.25">
      <c r="A15">
        <v>35242</v>
      </c>
      <c r="B15" t="s">
        <v>18</v>
      </c>
      <c r="C15">
        <v>78560</v>
      </c>
      <c r="D15">
        <v>15600</v>
      </c>
      <c r="E15" t="str">
        <f t="shared" si="0"/>
        <v>Credito Denegado</v>
      </c>
    </row>
    <row r="16" spans="1:5" x14ac:dyDescent="0.25">
      <c r="A16">
        <v>4153</v>
      </c>
      <c r="B16" t="s">
        <v>19</v>
      </c>
      <c r="C16">
        <v>78550</v>
      </c>
      <c r="D16">
        <v>28650</v>
      </c>
      <c r="E16" t="str">
        <f t="shared" si="0"/>
        <v>Credito Denegado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gaelq</dc:creator>
  <cp:lastModifiedBy>gaelq</cp:lastModifiedBy>
  <dcterms:created xsi:type="dcterms:W3CDTF">2026-05-21T15:26:04Z</dcterms:created>
  <dcterms:modified xsi:type="dcterms:W3CDTF">2026-05-21T16:23:18Z</dcterms:modified>
</cp:coreProperties>
</file>