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elq\Desktop\Carpeta a subir\"/>
    </mc:Choice>
  </mc:AlternateContent>
  <xr:revisionPtr revIDLastSave="0" documentId="8_{4200F67F-F8EC-42ED-B182-3808A3AFF68E}" xr6:coauthVersionLast="47" xr6:coauthVersionMax="47" xr10:uidLastSave="{00000000-0000-0000-0000-000000000000}"/>
  <bookViews>
    <workbookView xWindow="-120" yWindow="-120" windowWidth="20730" windowHeight="11160" xr2:uid="{41169FD3-3FFA-4592-A2A7-D83F8F8D87F5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1" l="1"/>
  <c r="D8" i="1"/>
  <c r="D2" i="1"/>
  <c r="D3" i="1"/>
  <c r="D4" i="1"/>
  <c r="D5" i="1"/>
  <c r="D6" i="1"/>
  <c r="D7" i="1"/>
  <c r="D10" i="1"/>
  <c r="D11" i="1"/>
  <c r="D12" i="1"/>
  <c r="D13" i="1"/>
  <c r="D14" i="1"/>
  <c r="D15" i="1"/>
  <c r="D16" i="1"/>
</calcChain>
</file>

<file path=xl/sharedStrings.xml><?xml version="1.0" encoding="utf-8"?>
<sst xmlns="http://schemas.openxmlformats.org/spreadsheetml/2006/main" count="55" uniqueCount="40">
  <si>
    <t>Categoria de productos</t>
  </si>
  <si>
    <t>Tasa de Impuesto</t>
  </si>
  <si>
    <t>Codigo</t>
  </si>
  <si>
    <t>Descripcion</t>
  </si>
  <si>
    <t>Categoria Producto</t>
  </si>
  <si>
    <t>Impuesto Aplicable</t>
  </si>
  <si>
    <t>a1234</t>
  </si>
  <si>
    <t>a12356</t>
  </si>
  <si>
    <t>a55441</t>
  </si>
  <si>
    <t>a4161</t>
  </si>
  <si>
    <t>a6546</t>
  </si>
  <si>
    <t>a666</t>
  </si>
  <si>
    <t>a6985</t>
  </si>
  <si>
    <t>a6821</t>
  </si>
  <si>
    <t>a7862</t>
  </si>
  <si>
    <t>a9632</t>
  </si>
  <si>
    <t>a2578</t>
  </si>
  <si>
    <t>a9631</t>
  </si>
  <si>
    <t>a7512</t>
  </si>
  <si>
    <t>a4721</t>
  </si>
  <si>
    <t>a10100</t>
  </si>
  <si>
    <t>Monitor LED 24`</t>
  </si>
  <si>
    <t>Case RGB Gamer</t>
  </si>
  <si>
    <t>Teclado Gamer</t>
  </si>
  <si>
    <t>Mouse Gamer</t>
  </si>
  <si>
    <t>Grafica 1gb vram</t>
  </si>
  <si>
    <t>Memorias Ram</t>
  </si>
  <si>
    <t>Windows 10</t>
  </si>
  <si>
    <t>Office 2022</t>
  </si>
  <si>
    <t>FIFA 26</t>
  </si>
  <si>
    <t>GTA V</t>
  </si>
  <si>
    <t>Canva</t>
  </si>
  <si>
    <t>Cable rj45</t>
  </si>
  <si>
    <t>cable red</t>
  </si>
  <si>
    <t>CPU i5 12th</t>
  </si>
  <si>
    <t>Cable HDMI</t>
  </si>
  <si>
    <t>Hadware</t>
  </si>
  <si>
    <t>Licencia</t>
  </si>
  <si>
    <t>Software</t>
  </si>
  <si>
    <t>Redes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</si>
</sst>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2">
    <dxf>
      <font>
        <b val="0"/>
        <i/>
      </font>
      <fill>
        <patternFill>
          <bgColor rgb="FF4AE0D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4" formatCode="0.00%"/>
    </dxf>
  </dxfs>
  <tableStyles count="1" defaultTableStyle="TableStyleMedium2" defaultPivotStyle="PivotStyleLight16">
    <tableStyle name="Estilo de tabla 1" pivot="0" count="1" xr9:uid="{A4FE13B1-8563-40AB-B2DC-74EF46653E6A}">
      <tableStyleElement type="wholeTable" dxfId="0"/>
    </tableStyle>
  </tableStyles>
  <colors>
    <mruColors>
      <color rgb="FF4AE0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062721-E354-4B75-B90C-346CCAB85E7E}" name="Tabla1" displayName="Tabla1" ref="A1:D16" totalsRowShown="0">
  <autoFilter ref="A1:D16" xr:uid="{18062721-E354-4B75-B90C-346CCAB85E7E}"/>
  <tableColumns count="4">
    <tableColumn id="1" xr3:uid="{B4653249-A09B-4734-A145-24FAAE8A6853}" name="Codigo"/>
    <tableColumn id="2" xr3:uid="{4ED2D3B7-C72B-47CB-A1AE-8D4F60B1FD8E}" name="Descripcion"/>
    <tableColumn id="3" xr3:uid="{42F8A7DB-17F2-49EC-974B-8D1F14B1EE29}" name="Categoria Producto"/>
    <tableColumn id="4" xr3:uid="{3F307DAC-8D54-4F87-9DD2-EE17210E51CF}" name="Impuesto Aplicable" dataDxfId="1">
      <calculatedColumnFormula>VLOOKUP(Tabla1[[#This Row],[Categoria Producto]],Tabla2[],2,FALSE)</calculatedColumnFormula>
    </tableColumn>
  </tableColumns>
  <tableStyleInfo name="Estilo de tabla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94C8E8-BED8-4958-ACEA-DE0B460F6EC4}" name="Tabla2" displayName="Tabla2" ref="A1:B5" totalsRowShown="0">
  <autoFilter ref="A1:B5" xr:uid="{F994C8E8-BED8-4958-ACEA-DE0B460F6EC4}"/>
  <tableColumns count="2">
    <tableColumn id="1" xr3:uid="{8A983B76-766E-4406-B821-FBD74F401404}" name="Categoria de productos"/>
    <tableColumn id="2" xr3:uid="{311C2A2A-C581-4BE5-924D-1DEF19F3C267}" name="Tasa de Impues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FDCB8-AA06-4BAF-9073-C78342762BA7}">
  <dimension ref="A1:D16"/>
  <sheetViews>
    <sheetView tabSelected="1" workbookViewId="0">
      <selection activeCell="A2" sqref="A2:D2"/>
    </sheetView>
  </sheetViews>
  <sheetFormatPr baseColWidth="10" defaultRowHeight="15" x14ac:dyDescent="0.25"/>
  <cols>
    <col min="2" max="2" width="19.140625" customWidth="1"/>
    <col min="3" max="3" width="26.5703125" customWidth="1"/>
    <col min="4" max="4" width="20.28515625" style="2" customWidth="1"/>
  </cols>
  <sheetData>
    <row r="1" spans="1:4" x14ac:dyDescent="0.25">
      <c r="A1" t="s">
        <v>2</v>
      </c>
      <c r="B1" t="s">
        <v>3</v>
      </c>
      <c r="C1" t="s">
        <v>4</v>
      </c>
      <c r="D1" s="2" t="s">
        <v>5</v>
      </c>
    </row>
    <row r="2" spans="1:4" x14ac:dyDescent="0.25">
      <c r="A2" t="s">
        <v>6</v>
      </c>
      <c r="B2" t="s">
        <v>21</v>
      </c>
      <c r="C2" t="s">
        <v>36</v>
      </c>
      <c r="D2" s="2">
        <f>VLOOKUP(Tabla1[[#This Row],[Categoria Producto]],Tabla2[],2,FALSE)</f>
        <v>0.12</v>
      </c>
    </row>
    <row r="3" spans="1:4" x14ac:dyDescent="0.25">
      <c r="A3" t="s">
        <v>7</v>
      </c>
      <c r="B3" t="s">
        <v>22</v>
      </c>
      <c r="C3" t="s">
        <v>36</v>
      </c>
      <c r="D3" s="2">
        <f>VLOOKUP(Tabla1[[#This Row],[Categoria Producto]],Tabla2[],2,FALSE)</f>
        <v>0.12</v>
      </c>
    </row>
    <row r="4" spans="1:4" x14ac:dyDescent="0.25">
      <c r="A4" t="s">
        <v>8</v>
      </c>
      <c r="B4" t="s">
        <v>23</v>
      </c>
      <c r="C4" t="s">
        <v>36</v>
      </c>
      <c r="D4" s="2">
        <f>VLOOKUP(Tabla1[[#This Row],[Categoria Producto]],Tabla2[],2,FALSE)</f>
        <v>0.12</v>
      </c>
    </row>
    <row r="5" spans="1:4" x14ac:dyDescent="0.25">
      <c r="A5" t="s">
        <v>20</v>
      </c>
      <c r="B5" t="s">
        <v>24</v>
      </c>
      <c r="C5" t="s">
        <v>36</v>
      </c>
      <c r="D5" s="2">
        <f>VLOOKUP(Tabla1[[#This Row],[Categoria Producto]],Tabla2[],2,FALSE)</f>
        <v>0.12</v>
      </c>
    </row>
    <row r="6" spans="1:4" x14ac:dyDescent="0.25">
      <c r="A6" t="s">
        <v>19</v>
      </c>
      <c r="B6" t="s">
        <v>25</v>
      </c>
      <c r="C6" t="s">
        <v>36</v>
      </c>
      <c r="D6" s="2">
        <f>VLOOKUP(Tabla1[[#This Row],[Categoria Producto]],Tabla2[],2,FALSE)</f>
        <v>0.12</v>
      </c>
    </row>
    <row r="7" spans="1:4" x14ac:dyDescent="0.25">
      <c r="A7" t="s">
        <v>18</v>
      </c>
      <c r="B7" t="s">
        <v>26</v>
      </c>
      <c r="C7" t="s">
        <v>36</v>
      </c>
      <c r="D7" s="2">
        <f>VLOOKUP(Tabla1[[#This Row],[Categoria Producto]],Tabla2[],2,FALSE)</f>
        <v>0.12</v>
      </c>
    </row>
    <row r="8" spans="1:4" x14ac:dyDescent="0.25">
      <c r="A8" t="s">
        <v>17</v>
      </c>
      <c r="B8" t="s">
        <v>27</v>
      </c>
      <c r="C8" t="s">
        <v>37</v>
      </c>
      <c r="D8" s="2">
        <f>VLOOKUP(Tabla1[[#This Row],[Categoria Producto]],Tabla2[],2,FALSE)</f>
        <v>0.08</v>
      </c>
    </row>
    <row r="9" spans="1:4" x14ac:dyDescent="0.25">
      <c r="A9" t="s">
        <v>16</v>
      </c>
      <c r="B9" t="s">
        <v>28</v>
      </c>
      <c r="C9" t="s">
        <v>37</v>
      </c>
      <c r="D9" s="2">
        <f>VLOOKUP(Tabla1[[#This Row],[Categoria Producto]],Tabla2[],2,FALSE)</f>
        <v>0.08</v>
      </c>
    </row>
    <row r="10" spans="1:4" x14ac:dyDescent="0.25">
      <c r="A10" t="s">
        <v>15</v>
      </c>
      <c r="B10" t="s">
        <v>29</v>
      </c>
      <c r="C10" t="s">
        <v>37</v>
      </c>
      <c r="D10" s="2">
        <f>VLOOKUP(Tabla1[[#This Row],[Categoria Producto]],Tabla2[],2,FALSE)</f>
        <v>0.08</v>
      </c>
    </row>
    <row r="11" spans="1:4" x14ac:dyDescent="0.25">
      <c r="A11" t="s">
        <v>14</v>
      </c>
      <c r="B11" t="s">
        <v>30</v>
      </c>
      <c r="C11" t="s">
        <v>37</v>
      </c>
      <c r="D11" s="2">
        <f>VLOOKUP(Tabla1[[#This Row],[Categoria Producto]],Tabla2[],2,FALSE)</f>
        <v>0.08</v>
      </c>
    </row>
    <row r="12" spans="1:4" x14ac:dyDescent="0.25">
      <c r="A12" t="s">
        <v>13</v>
      </c>
      <c r="B12" t="s">
        <v>31</v>
      </c>
      <c r="C12" t="s">
        <v>38</v>
      </c>
      <c r="D12" s="2">
        <f>VLOOKUP(Tabla1[[#This Row],[Categoria Producto]],Tabla2[],2,FALSE)</f>
        <v>0.05</v>
      </c>
    </row>
    <row r="13" spans="1:4" x14ac:dyDescent="0.25">
      <c r="A13" t="s">
        <v>12</v>
      </c>
      <c r="B13" t="s">
        <v>32</v>
      </c>
      <c r="C13" t="s">
        <v>39</v>
      </c>
      <c r="D13" s="2">
        <f>VLOOKUP(Tabla1[[#This Row],[Categoria Producto]],Tabla2[],2,FALSE)</f>
        <v>0.15</v>
      </c>
    </row>
    <row r="14" spans="1:4" x14ac:dyDescent="0.25">
      <c r="A14" t="s">
        <v>11</v>
      </c>
      <c r="B14" t="s">
        <v>33</v>
      </c>
      <c r="C14" t="s">
        <v>39</v>
      </c>
      <c r="D14" s="2">
        <f>VLOOKUP(Tabla1[[#This Row],[Categoria Producto]],Tabla2[],2,FALSE)</f>
        <v>0.15</v>
      </c>
    </row>
    <row r="15" spans="1:4" x14ac:dyDescent="0.25">
      <c r="A15" t="s">
        <v>10</v>
      </c>
      <c r="B15" t="s">
        <v>34</v>
      </c>
      <c r="C15" t="s">
        <v>36</v>
      </c>
      <c r="D15" s="2">
        <f>VLOOKUP(Tabla1[[#This Row],[Categoria Producto]],Tabla2[],2,FALSE)</f>
        <v>0.12</v>
      </c>
    </row>
    <row r="16" spans="1:4" x14ac:dyDescent="0.25">
      <c r="A16" t="s">
        <v>9</v>
      </c>
      <c r="B16" t="s">
        <v>35</v>
      </c>
      <c r="C16" t="s">
        <v>39</v>
      </c>
      <c r="D16" s="2">
        <f>VLOOKUP(Tabla1[[#This Row],[Categoria Producto]],Tabla2[],2,FALSE)</f>
        <v>0.15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06206-4C25-47B9-B0A1-139BB9A8326B}">
  <dimension ref="A1:B5"/>
  <sheetViews>
    <sheetView workbookViewId="0">
      <selection activeCell="A9" sqref="A9"/>
    </sheetView>
  </sheetViews>
  <sheetFormatPr baseColWidth="10" defaultRowHeight="15" x14ac:dyDescent="0.25"/>
  <cols>
    <col min="1" max="1" width="23.5703125" customWidth="1"/>
    <col min="2" max="2" width="18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36</v>
      </c>
      <c r="B2" s="1">
        <v>0.12</v>
      </c>
    </row>
    <row r="3" spans="1:2" x14ac:dyDescent="0.25">
      <c r="A3" t="s">
        <v>38</v>
      </c>
      <c r="B3" s="1">
        <v>0.05</v>
      </c>
    </row>
    <row r="4" spans="1:2" x14ac:dyDescent="0.25">
      <c r="A4" t="s">
        <v>39</v>
      </c>
      <c r="B4" s="1">
        <v>0.15</v>
      </c>
    </row>
    <row r="5" spans="1:2" x14ac:dyDescent="0.25">
      <c r="A5" t="s">
        <v>37</v>
      </c>
      <c r="B5" s="1">
        <v>0.08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gaelq</dc:creator>
  <cp:lastModifiedBy>gaelq</cp:lastModifiedBy>
  <dcterms:created xsi:type="dcterms:W3CDTF">2026-05-21T16:41:59Z</dcterms:created>
  <dcterms:modified xsi:type="dcterms:W3CDTF">2026-05-21T17:05:58Z</dcterms:modified>
</cp:coreProperties>
</file>